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/>
  <mc:AlternateContent xmlns:mc="http://schemas.openxmlformats.org/markup-compatibility/2006">
    <mc:Choice Requires="x15">
      <x15ac:absPath xmlns:x15ac="http://schemas.microsoft.com/office/spreadsheetml/2010/11/ac" url="/Volumes/Transcend/b3d/ressources/RI/"/>
    </mc:Choice>
  </mc:AlternateContent>
  <bookViews>
    <workbookView xWindow="1120" yWindow="460" windowWidth="27700" windowHeight="17540" tabRatio="500"/>
  </bookViews>
  <sheets>
    <sheet name="Feuil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6" i="1" l="1"/>
  <c r="B5" i="1"/>
  <c r="B4" i="1"/>
  <c r="B3" i="1"/>
  <c r="N36" i="1"/>
  <c r="N35" i="1"/>
  <c r="N34" i="1"/>
  <c r="N33" i="1"/>
  <c r="P3" i="1"/>
  <c r="P13" i="1"/>
  <c r="J3" i="1"/>
  <c r="J4" i="1"/>
  <c r="J5" i="1"/>
  <c r="J6" i="1"/>
  <c r="J8" i="1"/>
  <c r="P4" i="1"/>
  <c r="P14" i="1"/>
  <c r="P5" i="1"/>
  <c r="P15" i="1"/>
  <c r="P6" i="1"/>
  <c r="P16" i="1"/>
  <c r="P19" i="1"/>
  <c r="N3" i="1"/>
  <c r="N13" i="1"/>
  <c r="H3" i="1"/>
  <c r="H4" i="1"/>
  <c r="H5" i="1"/>
  <c r="H6" i="1"/>
  <c r="H8" i="1"/>
  <c r="N4" i="1"/>
  <c r="N14" i="1"/>
  <c r="N5" i="1"/>
  <c r="N15" i="1"/>
  <c r="N6" i="1"/>
  <c r="N16" i="1"/>
  <c r="N19" i="1"/>
  <c r="O3" i="1"/>
  <c r="O13" i="1"/>
  <c r="I3" i="1"/>
  <c r="I4" i="1"/>
  <c r="I5" i="1"/>
  <c r="I6" i="1"/>
  <c r="I8" i="1"/>
  <c r="O4" i="1"/>
  <c r="O14" i="1"/>
  <c r="O5" i="1"/>
  <c r="O15" i="1"/>
  <c r="O6" i="1"/>
  <c r="O16" i="1"/>
  <c r="O19" i="1"/>
  <c r="P20" i="1"/>
  <c r="O20" i="1"/>
  <c r="N20" i="1"/>
  <c r="N8" i="1"/>
  <c r="O8" i="1"/>
  <c r="P8" i="1"/>
  <c r="E8" i="1"/>
  <c r="J16" i="1"/>
  <c r="G18" i="1"/>
  <c r="J14" i="1"/>
  <c r="J15" i="1"/>
  <c r="J13" i="1"/>
  <c r="J19" i="1"/>
  <c r="D8" i="1"/>
  <c r="I16" i="1"/>
  <c r="I14" i="1"/>
  <c r="I15" i="1"/>
  <c r="I13" i="1"/>
  <c r="I19" i="1"/>
  <c r="C8" i="1"/>
  <c r="H16" i="1"/>
  <c r="H14" i="1"/>
  <c r="H15" i="1"/>
  <c r="H13" i="1"/>
  <c r="H19" i="1"/>
  <c r="E25" i="1"/>
  <c r="E26" i="1"/>
  <c r="E27" i="1"/>
  <c r="E28" i="1"/>
  <c r="E31" i="1"/>
  <c r="D25" i="1"/>
  <c r="D26" i="1"/>
  <c r="D27" i="1"/>
  <c r="D28" i="1"/>
  <c r="D31" i="1"/>
  <c r="C26" i="1"/>
  <c r="C27" i="1"/>
  <c r="C28" i="1"/>
  <c r="C25" i="1"/>
  <c r="C31" i="1"/>
  <c r="J20" i="1"/>
  <c r="I20" i="1"/>
  <c r="H20" i="1"/>
</calcChain>
</file>

<file path=xl/sharedStrings.xml><?xml version="1.0" encoding="utf-8"?>
<sst xmlns="http://schemas.openxmlformats.org/spreadsheetml/2006/main" count="38" uniqueCount="20">
  <si>
    <t>Voiture</t>
  </si>
  <si>
    <t>Marais</t>
  </si>
  <si>
    <t>Serpent</t>
  </si>
  <si>
    <t>Baleine</t>
  </si>
  <si>
    <t>IDF</t>
  </si>
  <si>
    <t>d1</t>
  </si>
  <si>
    <t>d2</t>
  </si>
  <si>
    <t>d3</t>
  </si>
  <si>
    <t>occurrences</t>
  </si>
  <si>
    <t>Total</t>
  </si>
  <si>
    <t>Normes</t>
  </si>
  <si>
    <t>Requête</t>
  </si>
  <si>
    <t>Score</t>
  </si>
  <si>
    <t>Norme q</t>
  </si>
  <si>
    <t>poids = occ/total * idf</t>
  </si>
  <si>
    <t>idf</t>
  </si>
  <si>
    <t>df</t>
  </si>
  <si>
    <t>Nb docs</t>
  </si>
  <si>
    <t>poids = occ * idf</t>
  </si>
  <si>
    <t>poids = occ /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</si>
</sst>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0.000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167" fontId="0" fillId="0" borderId="0" xfId="0" applyNumberForma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0" fillId="0" borderId="2" xfId="0" applyBorder="1"/>
    <xf numFmtId="167" fontId="0" fillId="0" borderId="2" xfId="0" applyNumberFormat="1" applyBorder="1"/>
    <xf numFmtId="167" fontId="0" fillId="0" borderId="3" xfId="0" applyNumberFormat="1" applyBorder="1"/>
    <xf numFmtId="0" fontId="1" fillId="0" borderId="4" xfId="0" applyFont="1" applyBorder="1"/>
    <xf numFmtId="0" fontId="0" fillId="0" borderId="0" xfId="0" applyBorder="1"/>
    <xf numFmtId="167" fontId="0" fillId="0" borderId="0" xfId="0" applyNumberFormat="1" applyBorder="1"/>
    <xf numFmtId="167" fontId="0" fillId="0" borderId="5" xfId="0" applyNumberFormat="1" applyBorder="1"/>
    <xf numFmtId="0" fontId="0" fillId="0" borderId="4" xfId="0" applyBorder="1"/>
    <xf numFmtId="0" fontId="0" fillId="0" borderId="5" xfId="0" applyBorder="1"/>
    <xf numFmtId="167" fontId="1" fillId="0" borderId="0" xfId="0" applyNumberFormat="1" applyFont="1" applyBorder="1"/>
    <xf numFmtId="167" fontId="1" fillId="0" borderId="5" xfId="0" applyNumberFormat="1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/>
    <xf numFmtId="0" fontId="0" fillId="0" borderId="9" xfId="0" applyBorder="1"/>
    <xf numFmtId="0" fontId="2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12" xfId="0" applyBorder="1"/>
    <xf numFmtId="0" fontId="1" fillId="0" borderId="13" xfId="0" applyFont="1" applyBorder="1"/>
    <xf numFmtId="167" fontId="0" fillId="0" borderId="13" xfId="0" applyNumberFormat="1" applyBorder="1" applyAlignment="1">
      <alignment horizontal="right"/>
    </xf>
    <xf numFmtId="0" fontId="2" fillId="0" borderId="14" xfId="0" applyFont="1" applyBorder="1"/>
    <xf numFmtId="0" fontId="0" fillId="0" borderId="15" xfId="0" applyBorder="1"/>
    <xf numFmtId="167" fontId="0" fillId="0" borderId="16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tabSelected="1" workbookViewId="0">
      <selection activeCell="Q27" sqref="Q27"/>
    </sheetView>
  </sheetViews>
  <sheetFormatPr baseColWidth="10" defaultRowHeight="16" x14ac:dyDescent="0.2"/>
  <cols>
    <col min="12" max="12" width="10.83203125" style="27"/>
    <col min="14" max="14" width="13.6640625" bestFit="1" customWidth="1"/>
  </cols>
  <sheetData>
    <row r="1" spans="1:16" x14ac:dyDescent="0.2">
      <c r="A1" s="19"/>
      <c r="B1" s="20" t="s">
        <v>4</v>
      </c>
      <c r="C1" s="21" t="s">
        <v>8</v>
      </c>
      <c r="D1" s="21"/>
      <c r="E1" s="22"/>
      <c r="F1" s="3"/>
      <c r="H1" s="1" t="s">
        <v>14</v>
      </c>
      <c r="N1" s="1" t="s">
        <v>18</v>
      </c>
    </row>
    <row r="2" spans="1:16" x14ac:dyDescent="0.2">
      <c r="A2" s="12"/>
      <c r="B2" s="23"/>
      <c r="C2" s="24" t="s">
        <v>5</v>
      </c>
      <c r="D2" s="24" t="s">
        <v>6</v>
      </c>
      <c r="E2" s="25" t="s">
        <v>7</v>
      </c>
      <c r="F2" s="3"/>
      <c r="H2" s="3" t="s">
        <v>5</v>
      </c>
      <c r="I2" s="3" t="s">
        <v>6</v>
      </c>
      <c r="J2" s="3" t="s">
        <v>7</v>
      </c>
    </row>
    <row r="3" spans="1:16" x14ac:dyDescent="0.2">
      <c r="A3" s="8" t="s">
        <v>0</v>
      </c>
      <c r="B3" s="10">
        <f>N33</f>
        <v>1.6532125137753437</v>
      </c>
      <c r="C3" s="9">
        <v>27</v>
      </c>
      <c r="D3" s="9">
        <v>15</v>
      </c>
      <c r="E3" s="13">
        <v>24</v>
      </c>
      <c r="H3" s="2">
        <f>C3/C$8*B3</f>
        <v>1.0144713152712337</v>
      </c>
      <c r="I3" s="2">
        <f>D3/D$8*B3</f>
        <v>0.41330312844383593</v>
      </c>
      <c r="J3" s="2">
        <f>E3/E$8*B3</f>
        <v>0.56681571900868932</v>
      </c>
      <c r="N3" s="2">
        <f>C3*$B3</f>
        <v>44.63673787193428</v>
      </c>
      <c r="O3" s="2">
        <f t="shared" ref="O3:P6" si="0">D3*$B3</f>
        <v>24.798187706630156</v>
      </c>
      <c r="P3" s="2">
        <f t="shared" si="0"/>
        <v>39.677100330608248</v>
      </c>
    </row>
    <row r="4" spans="1:16" x14ac:dyDescent="0.2">
      <c r="A4" s="8" t="s">
        <v>1</v>
      </c>
      <c r="B4" s="10">
        <f>N34</f>
        <v>2.0850107897083485</v>
      </c>
      <c r="C4" s="9">
        <v>3</v>
      </c>
      <c r="D4" s="9">
        <v>20</v>
      </c>
      <c r="E4" s="13">
        <v>0</v>
      </c>
      <c r="H4" s="2">
        <f t="shared" ref="H4:H6" si="1">C4/C$8*B4</f>
        <v>0.14215982657102375</v>
      </c>
      <c r="I4" s="2">
        <f t="shared" ref="I4:I6" si="2">D4/D$8*B4</f>
        <v>0.69500359656944943</v>
      </c>
      <c r="J4" s="2">
        <f t="shared" ref="J4:J6" si="3">E4/E$8*B4</f>
        <v>0</v>
      </c>
      <c r="N4" s="2">
        <f t="shared" ref="N4:N6" si="4">C4*$B4</f>
        <v>6.2550323691250451</v>
      </c>
      <c r="O4" s="2">
        <f t="shared" si="0"/>
        <v>41.700215794166972</v>
      </c>
      <c r="P4" s="2">
        <f t="shared" si="0"/>
        <v>0</v>
      </c>
    </row>
    <row r="5" spans="1:16" x14ac:dyDescent="0.2">
      <c r="A5" s="8" t="s">
        <v>2</v>
      </c>
      <c r="B5" s="10">
        <f>N35</f>
        <v>1.623828736090134</v>
      </c>
      <c r="C5" s="9">
        <v>0</v>
      </c>
      <c r="D5" s="9">
        <v>25</v>
      </c>
      <c r="E5" s="13">
        <v>29</v>
      </c>
      <c r="H5" s="2">
        <f t="shared" si="1"/>
        <v>0</v>
      </c>
      <c r="I5" s="2">
        <f t="shared" si="2"/>
        <v>0.67659530670422252</v>
      </c>
      <c r="J5" s="2">
        <f t="shared" si="3"/>
        <v>0.67272904780876985</v>
      </c>
      <c r="N5" s="2">
        <f t="shared" si="4"/>
        <v>0</v>
      </c>
      <c r="O5" s="2">
        <f t="shared" si="0"/>
        <v>40.595718402253347</v>
      </c>
      <c r="P5" s="2">
        <f t="shared" si="0"/>
        <v>47.091033346613884</v>
      </c>
    </row>
    <row r="6" spans="1:16" x14ac:dyDescent="0.2">
      <c r="A6" s="8" t="s">
        <v>3</v>
      </c>
      <c r="B6" s="10">
        <f>N36</f>
        <v>1.0511525224473812</v>
      </c>
      <c r="C6" s="9">
        <v>14</v>
      </c>
      <c r="D6" s="9">
        <v>0</v>
      </c>
      <c r="E6" s="13">
        <v>17</v>
      </c>
      <c r="H6" s="2">
        <f t="shared" si="1"/>
        <v>0.33445762077871222</v>
      </c>
      <c r="I6" s="2">
        <f t="shared" si="2"/>
        <v>0</v>
      </c>
      <c r="J6" s="2">
        <f t="shared" si="3"/>
        <v>0.25527989830864972</v>
      </c>
      <c r="N6" s="2">
        <f t="shared" si="4"/>
        <v>14.716135314263337</v>
      </c>
      <c r="O6" s="2">
        <f t="shared" si="0"/>
        <v>0</v>
      </c>
      <c r="P6" s="2">
        <f t="shared" si="0"/>
        <v>17.869592881605481</v>
      </c>
    </row>
    <row r="7" spans="1:16" x14ac:dyDescent="0.2">
      <c r="A7" s="12"/>
      <c r="B7" s="9"/>
      <c r="C7" s="9"/>
      <c r="D7" s="9"/>
      <c r="E7" s="13"/>
    </row>
    <row r="8" spans="1:16" ht="17" thickBot="1" x14ac:dyDescent="0.25">
      <c r="A8" s="16"/>
      <c r="B8" s="26" t="s">
        <v>9</v>
      </c>
      <c r="C8" s="17">
        <f>SUM(C3:C6)</f>
        <v>44</v>
      </c>
      <c r="D8" s="17">
        <f t="shared" ref="D8:E8" si="5">SUM(D3:D6)</f>
        <v>60</v>
      </c>
      <c r="E8" s="18">
        <f t="shared" si="5"/>
        <v>70</v>
      </c>
      <c r="G8" s="1" t="s">
        <v>10</v>
      </c>
      <c r="H8" s="2">
        <f>SQRT(POWER(H3,2)+POWER(H4,2)+POWER(H5,2)+POWER(H6,2))</f>
        <v>1.0776007451258593</v>
      </c>
      <c r="I8" s="2">
        <f>SQRT(POWER(I3,2)+POWER(I4,2)+POWER(I5,2)+POWER(I6,2))</f>
        <v>1.0543389797783789</v>
      </c>
      <c r="J8" s="2">
        <f>SQRT(POWER(J3,2)+POWER(J4,2)+POWER(J5,2)+POWER(J6,2))</f>
        <v>0.91597612281189189</v>
      </c>
      <c r="M8" t="s">
        <v>10</v>
      </c>
      <c r="N8" s="2">
        <f>SQRT(POWER(N3,2)+POWER(N4,2)+POWER(N5,2)+POWER(N6,2))</f>
        <v>47.414432785537805</v>
      </c>
      <c r="O8" s="2">
        <f>SQRT(POWER(O3,2)+POWER(O4,2)+POWER(O5,2)+POWER(O6,2))</f>
        <v>63.260338786702739</v>
      </c>
      <c r="P8" s="2">
        <f>SQRT(POWER(P3,2)+POWER(P4,2)+POWER(P5,2)+POWER(P6,2))</f>
        <v>64.118328596832427</v>
      </c>
    </row>
    <row r="9" spans="1:16" x14ac:dyDescent="0.2">
      <c r="B9" s="1"/>
    </row>
    <row r="11" spans="1:16" x14ac:dyDescent="0.2">
      <c r="H11" s="1" t="s">
        <v>11</v>
      </c>
    </row>
    <row r="12" spans="1:16" ht="17" thickBot="1" x14ac:dyDescent="0.25"/>
    <row r="13" spans="1:16" x14ac:dyDescent="0.2">
      <c r="F13" s="4" t="s">
        <v>0</v>
      </c>
      <c r="G13" s="5">
        <v>1</v>
      </c>
      <c r="H13" s="6">
        <f>H3*$G13</f>
        <v>1.0144713152712337</v>
      </c>
      <c r="I13" s="6">
        <f>I3*$G13</f>
        <v>0.41330312844383593</v>
      </c>
      <c r="J13" s="7">
        <f>J3*$G13</f>
        <v>0.56681571900868932</v>
      </c>
      <c r="M13" s="23" t="s">
        <v>0</v>
      </c>
      <c r="N13" s="10">
        <f>$G13*N3</f>
        <v>44.63673787193428</v>
      </c>
      <c r="O13" s="10">
        <f t="shared" ref="O13:P13" si="6">$G13*O3</f>
        <v>24.798187706630156</v>
      </c>
      <c r="P13" s="10">
        <f t="shared" si="6"/>
        <v>39.677100330608248</v>
      </c>
    </row>
    <row r="14" spans="1:16" x14ac:dyDescent="0.2">
      <c r="F14" s="8" t="s">
        <v>1</v>
      </c>
      <c r="G14" s="9">
        <v>1</v>
      </c>
      <c r="H14" s="10">
        <f>H4*$G14</f>
        <v>0.14215982657102375</v>
      </c>
      <c r="I14" s="10">
        <f>I4*$G14</f>
        <v>0.69500359656944943</v>
      </c>
      <c r="J14" s="11">
        <f>J4*$G14</f>
        <v>0</v>
      </c>
      <c r="M14" s="23" t="s">
        <v>1</v>
      </c>
      <c r="N14" s="10">
        <f t="shared" ref="N14:P14" si="7">$G14*N4</f>
        <v>6.2550323691250451</v>
      </c>
      <c r="O14" s="10">
        <f t="shared" si="7"/>
        <v>41.700215794166972</v>
      </c>
      <c r="P14" s="10">
        <f t="shared" si="7"/>
        <v>0</v>
      </c>
    </row>
    <row r="15" spans="1:16" x14ac:dyDescent="0.2">
      <c r="F15" s="8" t="s">
        <v>2</v>
      </c>
      <c r="G15" s="9">
        <v>1</v>
      </c>
      <c r="H15" s="10">
        <f>H5*$G15</f>
        <v>0</v>
      </c>
      <c r="I15" s="10">
        <f>I5*$G15</f>
        <v>0.67659530670422252</v>
      </c>
      <c r="J15" s="11">
        <f>J5*$G15</f>
        <v>0.67272904780876985</v>
      </c>
      <c r="M15" s="23" t="s">
        <v>2</v>
      </c>
      <c r="N15" s="10">
        <f t="shared" ref="N15:P15" si="8">$G15*N5</f>
        <v>0</v>
      </c>
      <c r="O15" s="10">
        <f t="shared" si="8"/>
        <v>40.595718402253347</v>
      </c>
      <c r="P15" s="10">
        <f t="shared" si="8"/>
        <v>47.091033346613884</v>
      </c>
    </row>
    <row r="16" spans="1:16" x14ac:dyDescent="0.2">
      <c r="F16" s="8" t="s">
        <v>3</v>
      </c>
      <c r="G16" s="9">
        <v>1</v>
      </c>
      <c r="H16" s="10">
        <f>H6*$G16</f>
        <v>0.33445762077871222</v>
      </c>
      <c r="I16" s="10">
        <f>I6*$G16</f>
        <v>0</v>
      </c>
      <c r="J16" s="11">
        <f>J6*$G16</f>
        <v>0.25527989830864972</v>
      </c>
      <c r="M16" s="23" t="s">
        <v>3</v>
      </c>
      <c r="N16" s="10">
        <f t="shared" ref="N16:P16" si="9">$G16*N6</f>
        <v>14.716135314263337</v>
      </c>
      <c r="O16" s="10">
        <f t="shared" si="9"/>
        <v>0</v>
      </c>
      <c r="P16" s="10">
        <f t="shared" si="9"/>
        <v>17.869592881605481</v>
      </c>
    </row>
    <row r="17" spans="2:16" x14ac:dyDescent="0.2">
      <c r="F17" s="12"/>
      <c r="G17" s="9"/>
      <c r="H17" s="9"/>
      <c r="I17" s="9"/>
      <c r="J17" s="13"/>
      <c r="M17" s="9"/>
      <c r="N17" s="9"/>
      <c r="O17" s="9"/>
      <c r="P17" s="9"/>
    </row>
    <row r="18" spans="2:16" x14ac:dyDescent="0.2">
      <c r="F18" s="8" t="s">
        <v>13</v>
      </c>
      <c r="G18" s="9">
        <f>SQRT(POWER(G13,2)+POWER(G14,2)+POWER(G15,2)+POWER(G16,2))</f>
        <v>2</v>
      </c>
      <c r="H18" s="9"/>
      <c r="I18" s="9"/>
      <c r="J18" s="13"/>
      <c r="M18" s="9"/>
      <c r="N18" s="9"/>
      <c r="O18" s="9"/>
      <c r="P18" s="9"/>
    </row>
    <row r="19" spans="2:16" x14ac:dyDescent="0.2">
      <c r="F19" s="12" t="s">
        <v>12</v>
      </c>
      <c r="G19" s="9"/>
      <c r="H19" s="14">
        <f>SUM(H13:H16)/($H$8*$G$18)</f>
        <v>0.69185585169895958</v>
      </c>
      <c r="I19" s="14">
        <f>SUM(I13:I16)/($I8*$G$18)</f>
        <v>0.84645548820204519</v>
      </c>
      <c r="J19" s="15">
        <f>SUM(J13:J16)/($J$8*$G$18)</f>
        <v>0.81597359794557189</v>
      </c>
      <c r="M19" s="9" t="s">
        <v>12</v>
      </c>
      <c r="N19" s="14">
        <f>SUM(N13:N16)/($H$8*$G$18)</f>
        <v>30.441657474754216</v>
      </c>
      <c r="O19" s="14">
        <f>SUM(O13:O16)/($I8*$G$18)</f>
        <v>50.787329292122713</v>
      </c>
      <c r="P19" s="14">
        <f>SUM(P13:P16)/($J$8*$G$18)</f>
        <v>57.118151856190025</v>
      </c>
    </row>
    <row r="20" spans="2:16" ht="17" thickBot="1" x14ac:dyDescent="0.25">
      <c r="F20" s="16"/>
      <c r="G20" s="17"/>
      <c r="H20" s="17">
        <f>RANK(H19,$H$19:$J$19)</f>
        <v>3</v>
      </c>
      <c r="I20" s="17">
        <f>RANK(I19,$H$19:$J$19)</f>
        <v>1</v>
      </c>
      <c r="J20" s="18">
        <f>RANK(J19,$H$19:$J$19)</f>
        <v>2</v>
      </c>
      <c r="M20" s="9"/>
      <c r="N20" s="9">
        <f>RANK(N19,N19:P19)</f>
        <v>3</v>
      </c>
      <c r="O20" s="9">
        <f>RANK(O19,N19:P19)</f>
        <v>2</v>
      </c>
      <c r="P20" s="9">
        <f>RANK(P19,N19:P19)</f>
        <v>1</v>
      </c>
    </row>
    <row r="23" spans="2:16" x14ac:dyDescent="0.2">
      <c r="C23" s="1" t="s">
        <v>19</v>
      </c>
    </row>
    <row r="25" spans="2:16" x14ac:dyDescent="0.2">
      <c r="C25" s="2">
        <f>C3/C$8</f>
        <v>0.61363636363636365</v>
      </c>
      <c r="D25" s="2">
        <f t="shared" ref="D25:E25" si="10">D3/D$8</f>
        <v>0.25</v>
      </c>
      <c r="E25" s="2">
        <f t="shared" si="10"/>
        <v>0.34285714285714286</v>
      </c>
      <c r="F25" s="2"/>
    </row>
    <row r="26" spans="2:16" x14ac:dyDescent="0.2">
      <c r="C26" s="2">
        <f t="shared" ref="C26:E26" si="11">C4/C$8</f>
        <v>6.8181818181818177E-2</v>
      </c>
      <c r="D26" s="2">
        <f t="shared" si="11"/>
        <v>0.33333333333333331</v>
      </c>
      <c r="E26" s="2">
        <f t="shared" si="11"/>
        <v>0</v>
      </c>
      <c r="F26" s="2"/>
    </row>
    <row r="27" spans="2:16" x14ac:dyDescent="0.2">
      <c r="C27" s="2">
        <f t="shared" ref="C27:E27" si="12">C5/C$8</f>
        <v>0</v>
      </c>
      <c r="D27" s="2">
        <f t="shared" si="12"/>
        <v>0.41666666666666669</v>
      </c>
      <c r="E27" s="2">
        <f t="shared" si="12"/>
        <v>0.41428571428571431</v>
      </c>
      <c r="F27" s="2"/>
    </row>
    <row r="28" spans="2:16" x14ac:dyDescent="0.2">
      <c r="C28" s="2">
        <f t="shared" ref="C28:E28" si="13">C6/C$8</f>
        <v>0.31818181818181818</v>
      </c>
      <c r="D28" s="2">
        <f t="shared" si="13"/>
        <v>0</v>
      </c>
      <c r="E28" s="2">
        <f t="shared" si="13"/>
        <v>0.24285714285714285</v>
      </c>
      <c r="F28" s="2"/>
    </row>
    <row r="31" spans="2:16" x14ac:dyDescent="0.2">
      <c r="B31" s="1" t="s">
        <v>10</v>
      </c>
      <c r="C31" s="2">
        <f>SQRT(POWER(C25,2)+POWER(C26,2)+POWER(C27,2)+POWER(C28,2))</f>
        <v>0.694577581360733</v>
      </c>
      <c r="D31" s="2">
        <f t="shared" ref="D31:E31" si="14">SQRT(POWER(D25,2)+POWER(D26,2)+POWER(D27,2)+POWER(D28,2))</f>
        <v>0.58925565098878963</v>
      </c>
      <c r="E31" s="2">
        <f t="shared" si="14"/>
        <v>0.59005361223038233</v>
      </c>
      <c r="L31" s="29"/>
      <c r="M31" s="30" t="s">
        <v>17</v>
      </c>
      <c r="N31" s="31">
        <v>4500</v>
      </c>
    </row>
    <row r="32" spans="2:16" x14ac:dyDescent="0.2">
      <c r="M32" s="23" t="s">
        <v>16</v>
      </c>
      <c r="N32" s="32" t="s">
        <v>15</v>
      </c>
    </row>
    <row r="33" spans="12:14" x14ac:dyDescent="0.2">
      <c r="L33" s="28" t="s">
        <v>0</v>
      </c>
      <c r="M33" s="9">
        <v>100</v>
      </c>
      <c r="N33" s="33">
        <f>LOG($N$31/M33)</f>
        <v>1.6532125137753437</v>
      </c>
    </row>
    <row r="34" spans="12:14" x14ac:dyDescent="0.2">
      <c r="L34" s="28" t="s">
        <v>1</v>
      </c>
      <c r="M34" s="9">
        <v>37</v>
      </c>
      <c r="N34" s="33">
        <f>LOG($N$31/M34)</f>
        <v>2.0850107897083485</v>
      </c>
    </row>
    <row r="35" spans="12:14" x14ac:dyDescent="0.2">
      <c r="L35" s="28" t="s">
        <v>2</v>
      </c>
      <c r="M35" s="9">
        <v>107</v>
      </c>
      <c r="N35" s="33">
        <f>LOG($N$31/M35)</f>
        <v>1.623828736090134</v>
      </c>
    </row>
    <row r="36" spans="12:14" x14ac:dyDescent="0.2">
      <c r="L36" s="34" t="s">
        <v>3</v>
      </c>
      <c r="M36" s="35">
        <v>400</v>
      </c>
      <c r="N36" s="36">
        <f>LOG($N$31/M36)</f>
        <v>1.0511525224473812</v>
      </c>
    </row>
  </sheetData>
  <mergeCells count="1"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de Microsoft Office</dc:creator>
  <cp:lastModifiedBy>Utilisateur de Microsoft Office</cp:lastModifiedBy>
  <dcterms:created xsi:type="dcterms:W3CDTF">2017-04-18T20:12:45Z</dcterms:created>
  <dcterms:modified xsi:type="dcterms:W3CDTF">2017-04-18T21:59:09Z</dcterms:modified>
</cp:coreProperties>
</file>